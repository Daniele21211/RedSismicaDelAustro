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BIOPHARMA SA\Downloads\"/>
    </mc:Choice>
  </mc:AlternateContent>
  <xr:revisionPtr revIDLastSave="0" documentId="13_ncr:1_{58547C00-A859-4796-90EB-3C70782DACDC}" xr6:coauthVersionLast="47" xr6:coauthVersionMax="47" xr10:uidLastSave="{00000000-0000-0000-0000-000000000000}"/>
  <bookViews>
    <workbookView xWindow="-108" yWindow="-108" windowWidth="23256" windowHeight="13896" tabRatio="777" xr2:uid="{00000000-000D-0000-FFFF-FFFF00000000}"/>
  </bookViews>
  <sheets>
    <sheet name="Quotation" sheetId="1" r:id="rId1"/>
    <sheet name="Acelerografo" sheetId="28" r:id="rId2"/>
    <sheet name="digitalizador" sheetId="29" r:id="rId3"/>
    <sheet name="thermocoupleGTL" sheetId="30" r:id="rId4"/>
    <sheet name="elongometer" sheetId="32" r:id="rId5"/>
    <sheet name="fixed_colimador" sheetId="33" r:id="rId6"/>
    <sheet name="mobile_colimador" sheetId="34" r:id="rId7"/>
    <sheet name="piezometer" sheetId="35" r:id="rId8"/>
  </sheets>
  <definedNames>
    <definedName name="_xlnm._FilterDatabase" localSheetId="0" hidden="1">Quotation!$A$7:$Q$41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7" i="1" l="1"/>
  <c r="N36" i="1"/>
  <c r="N35" i="1"/>
  <c r="N34" i="1"/>
  <c r="N29" i="1"/>
  <c r="M29" i="1"/>
  <c r="N28" i="1"/>
  <c r="M28" i="1"/>
  <c r="N27" i="1"/>
  <c r="M27" i="1"/>
  <c r="N26" i="1"/>
  <c r="M26" i="1"/>
  <c r="N25" i="1"/>
  <c r="N24" i="1"/>
  <c r="N23" i="1"/>
  <c r="N22" i="1"/>
  <c r="N21" i="1"/>
  <c r="N20" i="1"/>
  <c r="N19" i="1"/>
  <c r="N18" i="1"/>
  <c r="N13" i="1"/>
  <c r="M13" i="1"/>
  <c r="N12" i="1"/>
  <c r="M12" i="1"/>
  <c r="N11" i="1"/>
  <c r="M11" i="1"/>
  <c r="N10" i="1"/>
  <c r="M10" i="1"/>
</calcChain>
</file>

<file path=xl/sharedStrings.xml><?xml version="1.0" encoding="utf-8"?>
<sst xmlns="http://schemas.openxmlformats.org/spreadsheetml/2006/main" count="256" uniqueCount="54">
  <si>
    <t>PCB Official Quotation</t>
  </si>
  <si>
    <t>Date :</t>
  </si>
  <si>
    <t>Annual Volume :</t>
  </si>
  <si>
    <t>see quotation</t>
  </si>
  <si>
    <t>Single board size</t>
  </si>
  <si>
    <t>Panelisation</t>
  </si>
  <si>
    <t>Special</t>
  </si>
  <si>
    <t>PCB P/N</t>
  </si>
  <si>
    <t>Layer Count</t>
  </si>
  <si>
    <t>Material</t>
  </si>
  <si>
    <t>Board thk</t>
  </si>
  <si>
    <t>copper thk</t>
  </si>
  <si>
    <t>Smallest hole size</t>
  </si>
  <si>
    <t>No. of holes (pcs)</t>
  </si>
  <si>
    <t>line w/s</t>
  </si>
  <si>
    <t>Impedance control. Y / N (Tol %)</t>
  </si>
  <si>
    <t>Surface Finishing</t>
  </si>
  <si>
    <t>Dim X (mm)</t>
  </si>
  <si>
    <t>Dim Y (mm)</t>
  </si>
  <si>
    <t>No Of UPS</t>
  </si>
  <si>
    <t>peelable mask</t>
  </si>
  <si>
    <t>Routing/
Punching</t>
  </si>
  <si>
    <t>Acelerografo</t>
  </si>
  <si>
    <t>4L</t>
  </si>
  <si>
    <t>FR-4</t>
  </si>
  <si>
    <t>1.60+/-0.16mm</t>
  </si>
  <si>
    <t>1/1/1/1oz
Finished copper</t>
  </si>
  <si>
    <t>0.30mm</t>
  </si>
  <si>
    <t>8/8mil</t>
  </si>
  <si>
    <t>N</t>
  </si>
  <si>
    <t>HAL LF
Green solder mask*2
White silkscreen*2</t>
  </si>
  <si>
    <t>CNC+V-cut</t>
  </si>
  <si>
    <t>2L</t>
  </si>
  <si>
    <t>1/1oz
Finished copper</t>
  </si>
  <si>
    <t>10/10mil</t>
  </si>
  <si>
    <t>HAL LF
Green solder mask*2
White silkscreen*1</t>
  </si>
  <si>
    <t>digitalizador</t>
  </si>
  <si>
    <t>thermocouple</t>
  </si>
  <si>
    <t>0.15mm</t>
  </si>
  <si>
    <t>6/6mil</t>
  </si>
  <si>
    <t>elongometer</t>
  </si>
  <si>
    <t>5/5mil</t>
  </si>
  <si>
    <t>fixed_colimador</t>
  </si>
  <si>
    <t>mobile_colimador</t>
  </si>
  <si>
    <t>piezometer</t>
  </si>
  <si>
    <t>GTL</t>
  </si>
  <si>
    <t>GBL</t>
  </si>
  <si>
    <t>L2</t>
  </si>
  <si>
    <t>L3</t>
  </si>
  <si>
    <t>GTS</t>
  </si>
  <si>
    <t>GBS</t>
  </si>
  <si>
    <t>GTO</t>
  </si>
  <si>
    <t>GBO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</si>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</sst>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_ "/>
    <numFmt numFmtId="169" formatCode="0.0000"/>
  </numFmts>
  <fonts count="18">
    <font>
      <sz val="10"/>
      <name val="Arial"/>
      <charset val="134"/>
    </font>
    <font>
      <sz val="8"/>
      <color indexed="8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6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8"/>
      <color indexed="8"/>
      <name val="Times New Roman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indexed="50"/>
      <name val="Times New Roman"/>
      <charset val="134"/>
    </font>
    <font>
      <b/>
      <sz val="11"/>
      <color indexed="18"/>
      <name val="Times New Roman"/>
      <charset val="134"/>
    </font>
    <font>
      <sz val="11"/>
      <color indexed="18"/>
      <name val="Times New Roman"/>
      <charset val="134"/>
    </font>
    <font>
      <b/>
      <sz val="11"/>
      <color indexed="56"/>
      <name val="Times New Roman"/>
      <charset val="134"/>
    </font>
    <font>
      <u/>
      <sz val="16"/>
      <name val="Times New Roman"/>
      <charset val="134"/>
    </font>
    <font>
      <sz val="9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right"/>
    </xf>
    <xf numFmtId="0" fontId="5" fillId="0" borderId="0" xfId="0" applyFont="1" applyFill="1"/>
    <xf numFmtId="0" fontId="4" fillId="0" borderId="0" xfId="0" applyFont="1" applyFill="1" applyAlignment="1">
      <alignment horizontal="left"/>
    </xf>
    <xf numFmtId="0" fontId="2" fillId="0" borderId="0" xfId="0" applyFont="1" applyFill="1"/>
    <xf numFmtId="15" fontId="5" fillId="0" borderId="0" xfId="0" applyNumberFormat="1" applyFont="1" applyFill="1" applyAlignment="1">
      <alignment horizontal="left"/>
    </xf>
    <xf numFmtId="0" fontId="3" fillId="0" borderId="0" xfId="0" applyFont="1" applyFill="1"/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14" fontId="7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1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3" fillId="0" borderId="0" xfId="0" applyFont="1" applyFill="1" applyBorder="1" applyAlignment="1">
      <alignment horizontal="center" wrapText="1"/>
    </xf>
    <xf numFmtId="0" fontId="7" fillId="0" borderId="0" xfId="0" applyFont="1"/>
    <xf numFmtId="0" fontId="4" fillId="0" borderId="0" xfId="0" applyFont="1" applyFill="1" applyAlignment="1">
      <alignment horizontal="right"/>
    </xf>
    <xf numFmtId="0" fontId="16" fillId="0" borderId="0" xfId="0" applyFont="1" applyFill="1"/>
    <xf numFmtId="0" fontId="7" fillId="0" borderId="0" xfId="0" applyFont="1" applyBorder="1" applyAlignment="1">
      <alignment wrapText="1"/>
    </xf>
    <xf numFmtId="0" fontId="7" fillId="0" borderId="0" xfId="0" applyFont="1" applyFill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168" fontId="3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168" fontId="11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169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12" fillId="0" borderId="0" xfId="0" applyFont="1" applyFill="1" applyBorder="1" applyAlignment="1">
      <alignment vertical="center" wrapText="1"/>
    </xf>
    <xf numFmtId="15" fontId="2" fillId="0" borderId="0" xfId="0" applyNumberFormat="1" applyFont="1" applyFill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1" fontId="3" fillId="0" borderId="0" xfId="0" applyNumberFormat="1" applyFont="1" applyFill="1" applyBorder="1" applyAlignment="1">
      <alignment horizontal="right" vertical="center" wrapText="1"/>
    </xf>
    <xf numFmtId="14" fontId="3" fillId="0" borderId="0" xfId="0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49" fontId="9" fillId="2" borderId="1" xfId="0" applyNumberFormat="1" applyFont="1" applyFill="1" applyBorder="1" applyAlignment="1">
      <alignment horizontal="center" vertical="center" wrapText="1"/>
    </xf>
    <xf numFmtId="168" fontId="10" fillId="0" borderId="2" xfId="0" applyNumberFormat="1" applyFont="1" applyFill="1" applyBorder="1" applyAlignment="1">
      <alignment horizontal="center" vertical="center" wrapText="1"/>
    </xf>
    <xf numFmtId="168" fontId="10" fillId="0" borderId="3" xfId="0" applyNumberFormat="1" applyFont="1" applyFill="1" applyBorder="1" applyAlignment="1">
      <alignment horizontal="center" vertical="center" wrapText="1"/>
    </xf>
    <xf numFmtId="168" fontId="10" fillId="0" borderId="4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1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466725</xdr:colOff>
      <xdr:row>26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4124325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13</xdr:col>
      <xdr:colOff>533400</xdr:colOff>
      <xdr:row>26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61925"/>
          <a:ext cx="4191000" cy="407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20</xdr:col>
      <xdr:colOff>428625</xdr:colOff>
      <xdr:row>26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61925"/>
          <a:ext cx="4086225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390525</xdr:colOff>
      <xdr:row>25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01600" y="161925"/>
          <a:ext cx="40481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409575</xdr:colOff>
      <xdr:row>53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33900"/>
          <a:ext cx="4067175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13</xdr:col>
      <xdr:colOff>476250</xdr:colOff>
      <xdr:row>53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0" y="4533900"/>
          <a:ext cx="4133850" cy="404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20</xdr:col>
      <xdr:colOff>447675</xdr:colOff>
      <xdr:row>53</xdr:row>
      <xdr:rowOff>47625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4533900"/>
          <a:ext cx="4105275" cy="409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27</xdr:col>
      <xdr:colOff>390525</xdr:colOff>
      <xdr:row>53</xdr:row>
      <xdr:rowOff>38100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01600" y="4533900"/>
          <a:ext cx="4048125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6</xdr:col>
      <xdr:colOff>428625</xdr:colOff>
      <xdr:row>80</xdr:row>
      <xdr:rowOff>9525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905875"/>
          <a:ext cx="4086225" cy="4057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19050</xdr:colOff>
      <xdr:row>25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489585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16</xdr:col>
      <xdr:colOff>9525</xdr:colOff>
      <xdr:row>25</xdr:row>
      <xdr:rowOff>123825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61925"/>
          <a:ext cx="48863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23</xdr:col>
      <xdr:colOff>590550</xdr:colOff>
      <xdr:row>25</xdr:row>
      <xdr:rowOff>66675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161925"/>
          <a:ext cx="4857750" cy="395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32</xdr:col>
      <xdr:colOff>0</xdr:colOff>
      <xdr:row>25</xdr:row>
      <xdr:rowOff>57150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30400" y="161925"/>
          <a:ext cx="4876800" cy="394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600075</xdr:colOff>
      <xdr:row>51</xdr:row>
      <xdr:rowOff>76200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371975"/>
          <a:ext cx="4867275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16</xdr:col>
      <xdr:colOff>0</xdr:colOff>
      <xdr:row>51</xdr:row>
      <xdr:rowOff>76200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6800" y="4371975"/>
          <a:ext cx="487680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24</xdr:col>
      <xdr:colOff>0</xdr:colOff>
      <xdr:row>51</xdr:row>
      <xdr:rowOff>76200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53600" y="4371975"/>
          <a:ext cx="487680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32</xdr:col>
      <xdr:colOff>19050</xdr:colOff>
      <xdr:row>51</xdr:row>
      <xdr:rowOff>85725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30400" y="4371975"/>
          <a:ext cx="4895850" cy="397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8</xdr:col>
      <xdr:colOff>0</xdr:colOff>
      <xdr:row>77</xdr:row>
      <xdr:rowOff>76200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582025"/>
          <a:ext cx="4876800" cy="396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533400</xdr:colOff>
      <xdr:row>23</xdr:row>
      <xdr:rowOff>142875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5410200" cy="370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8</xdr:col>
      <xdr:colOff>571500</xdr:colOff>
      <xdr:row>49</xdr:row>
      <xdr:rowOff>9525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10050"/>
          <a:ext cx="5448300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26</xdr:col>
      <xdr:colOff>561975</xdr:colOff>
      <xdr:row>48</xdr:row>
      <xdr:rowOff>152400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4210050"/>
          <a:ext cx="5438775" cy="371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571500</xdr:colOff>
      <xdr:row>24</xdr:row>
      <xdr:rowOff>9525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161925"/>
          <a:ext cx="5448300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35</xdr:col>
      <xdr:colOff>552450</xdr:colOff>
      <xdr:row>24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59200" y="161925"/>
          <a:ext cx="5429250" cy="372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571500</xdr:colOff>
      <xdr:row>23</xdr:row>
      <xdr:rowOff>142875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61925"/>
          <a:ext cx="5448300" cy="370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17</xdr:col>
      <xdr:colOff>571500</xdr:colOff>
      <xdr:row>49</xdr:row>
      <xdr:rowOff>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4210050"/>
          <a:ext cx="5448300" cy="372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35</xdr:col>
      <xdr:colOff>542925</xdr:colOff>
      <xdr:row>48</xdr:row>
      <xdr:rowOff>123825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59200" y="4210050"/>
          <a:ext cx="5419725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8</xdr:col>
      <xdr:colOff>542925</xdr:colOff>
      <xdr:row>74</xdr:row>
      <xdr:rowOff>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258175"/>
          <a:ext cx="5419725" cy="3724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19050</xdr:colOff>
      <xdr:row>25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489585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9525</xdr:colOff>
      <xdr:row>25</xdr:row>
      <xdr:rowOff>104775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9675" y="161925"/>
          <a:ext cx="4886325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9525</xdr:colOff>
      <xdr:row>25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10775" y="161925"/>
          <a:ext cx="4886325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35</xdr:col>
      <xdr:colOff>9525</xdr:colOff>
      <xdr:row>25</xdr:row>
      <xdr:rowOff>133350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30450" y="161925"/>
          <a:ext cx="48863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19050</xdr:colOff>
      <xdr:row>52</xdr:row>
      <xdr:rowOff>104775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33900"/>
          <a:ext cx="4895850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17</xdr:col>
      <xdr:colOff>9525</xdr:colOff>
      <xdr:row>52</xdr:row>
      <xdr:rowOff>114300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19675" y="4533900"/>
          <a:ext cx="4886325" cy="400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25</xdr:col>
      <xdr:colOff>600075</xdr:colOff>
      <xdr:row>52</xdr:row>
      <xdr:rowOff>85725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10775" y="4533900"/>
          <a:ext cx="4867275" cy="397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35</xdr:col>
      <xdr:colOff>19050</xdr:colOff>
      <xdr:row>52</xdr:row>
      <xdr:rowOff>123825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30450" y="4533900"/>
          <a:ext cx="4895850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8</xdr:col>
      <xdr:colOff>9525</xdr:colOff>
      <xdr:row>79</xdr:row>
      <xdr:rowOff>95250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905875"/>
          <a:ext cx="4886325" cy="398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257175</xdr:colOff>
      <xdr:row>25</xdr:row>
      <xdr:rowOff>104775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5133975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247650</xdr:colOff>
      <xdr:row>25</xdr:row>
      <xdr:rowOff>104775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61925"/>
          <a:ext cx="5124450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295275</xdr:colOff>
      <xdr:row>25</xdr:row>
      <xdr:rowOff>85725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161925"/>
          <a:ext cx="5172075" cy="397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35</xdr:col>
      <xdr:colOff>276225</xdr:colOff>
      <xdr:row>25</xdr:row>
      <xdr:rowOff>76200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59200" y="161925"/>
          <a:ext cx="5153025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266700</xdr:colOff>
      <xdr:row>52</xdr:row>
      <xdr:rowOff>104775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33900"/>
          <a:ext cx="5143500" cy="399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17</xdr:col>
      <xdr:colOff>266700</xdr:colOff>
      <xdr:row>52</xdr:row>
      <xdr:rowOff>114300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4533900"/>
          <a:ext cx="5143500" cy="400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26</xdr:col>
      <xdr:colOff>285750</xdr:colOff>
      <xdr:row>52</xdr:row>
      <xdr:rowOff>76200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2800" y="4533900"/>
          <a:ext cx="5162550" cy="396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35</xdr:col>
      <xdr:colOff>285750</xdr:colOff>
      <xdr:row>52</xdr:row>
      <xdr:rowOff>133350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59200" y="4533900"/>
          <a:ext cx="5162550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8</xdr:col>
      <xdr:colOff>266700</xdr:colOff>
      <xdr:row>78</xdr:row>
      <xdr:rowOff>95250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743950"/>
          <a:ext cx="5143500" cy="398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0</xdr:colOff>
      <xdr:row>21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5486400" cy="336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18</xdr:col>
      <xdr:colOff>600075</xdr:colOff>
      <xdr:row>21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61925"/>
          <a:ext cx="547687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28</xdr:col>
      <xdr:colOff>561975</xdr:colOff>
      <xdr:row>21</xdr:row>
      <xdr:rowOff>76200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161925"/>
          <a:ext cx="5438775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9</xdr:col>
      <xdr:colOff>28575</xdr:colOff>
      <xdr:row>44</xdr:row>
      <xdr:rowOff>104775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86200"/>
          <a:ext cx="5514975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19</xdr:col>
      <xdr:colOff>9525</xdr:colOff>
      <xdr:row>44</xdr:row>
      <xdr:rowOff>104775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3886200"/>
          <a:ext cx="5495925" cy="3343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29</xdr:col>
      <xdr:colOff>0</xdr:colOff>
      <xdr:row>44</xdr:row>
      <xdr:rowOff>133350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0" y="3886200"/>
          <a:ext cx="5486400" cy="337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9</xdr:col>
      <xdr:colOff>28575</xdr:colOff>
      <xdr:row>67</xdr:row>
      <xdr:rowOff>114300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10475"/>
          <a:ext cx="551497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19</xdr:col>
      <xdr:colOff>28575</xdr:colOff>
      <xdr:row>67</xdr:row>
      <xdr:rowOff>95250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7610475"/>
          <a:ext cx="551497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29</xdr:col>
      <xdr:colOff>28575</xdr:colOff>
      <xdr:row>67</xdr:row>
      <xdr:rowOff>114300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0" y="7610475"/>
          <a:ext cx="5514975" cy="3352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600075</xdr:colOff>
      <xdr:row>23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5476875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590550</xdr:colOff>
      <xdr:row>23</xdr:row>
      <xdr:rowOff>142875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61925"/>
          <a:ext cx="5467350" cy="370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600075</xdr:colOff>
      <xdr:row>23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161925"/>
          <a:ext cx="5476875" cy="371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36</xdr:col>
      <xdr:colOff>9525</xdr:colOff>
      <xdr:row>23</xdr:row>
      <xdr:rowOff>152400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59200" y="161925"/>
          <a:ext cx="5495925" cy="371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26</xdr:row>
      <xdr:rowOff>0</xdr:rowOff>
    </xdr:from>
    <xdr:to>
      <xdr:col>8</xdr:col>
      <xdr:colOff>553085</xdr:colOff>
      <xdr:row>49</xdr:row>
      <xdr:rowOff>9525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210050"/>
          <a:ext cx="5420360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17</xdr:col>
      <xdr:colOff>590550</xdr:colOff>
      <xdr:row>48</xdr:row>
      <xdr:rowOff>123825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4210050"/>
          <a:ext cx="5467350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26</xdr:col>
      <xdr:colOff>561975</xdr:colOff>
      <xdr:row>49</xdr:row>
      <xdr:rowOff>9525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2800" y="4210050"/>
          <a:ext cx="5438775" cy="373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35</xdr:col>
      <xdr:colOff>552450</xdr:colOff>
      <xdr:row>48</xdr:row>
      <xdr:rowOff>123825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59200" y="4210050"/>
          <a:ext cx="5429250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8</xdr:col>
      <xdr:colOff>571500</xdr:colOff>
      <xdr:row>73</xdr:row>
      <xdr:rowOff>104775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258175"/>
          <a:ext cx="5448300" cy="3667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2"/>
  </sheetPr>
  <dimension ref="A1:Q77"/>
  <sheetViews>
    <sheetView showGridLines="0" tabSelected="1" zoomScale="72" zoomScaleNormal="72" workbookViewId="0">
      <selection activeCell="U11" sqref="U11"/>
    </sheetView>
  </sheetViews>
  <sheetFormatPr baseColWidth="10" defaultColWidth="9.109375" defaultRowHeight="21"/>
  <cols>
    <col min="1" max="1" width="18.33203125" style="4" customWidth="1"/>
    <col min="2" max="2" width="6.5546875" style="4" customWidth="1"/>
    <col min="3" max="3" width="11.88671875" style="4" customWidth="1"/>
    <col min="4" max="4" width="14.21875" style="4" customWidth="1"/>
    <col min="5" max="5" width="18" style="4" customWidth="1"/>
    <col min="6" max="6" width="13.44140625" style="4" customWidth="1"/>
    <col min="7" max="7" width="8.6640625" style="4" customWidth="1"/>
    <col min="8" max="8" width="12.109375" style="5" customWidth="1"/>
    <col min="9" max="9" width="9.33203125" style="6" customWidth="1"/>
    <col min="10" max="10" width="23" style="4" customWidth="1"/>
    <col min="11" max="11" width="9.88671875" style="4" customWidth="1"/>
    <col min="12" max="12" width="8.6640625" style="4" customWidth="1"/>
    <col min="13" max="13" width="8.88671875" style="4" customWidth="1"/>
    <col min="14" max="14" width="10.109375" style="4" customWidth="1"/>
    <col min="15" max="15" width="6.5546875" style="4" customWidth="1"/>
    <col min="16" max="16" width="7.6640625" style="4" customWidth="1"/>
    <col min="17" max="17" width="11.77734375" style="4" customWidth="1"/>
    <col min="18" max="16384" width="9.109375" style="4"/>
  </cols>
  <sheetData>
    <row r="1" spans="1:17" ht="6.75" customHeight="1">
      <c r="I1" s="37"/>
    </row>
    <row r="2" spans="1:17">
      <c r="B2" s="7"/>
      <c r="C2" s="7"/>
      <c r="K2" s="38" t="s">
        <v>0</v>
      </c>
    </row>
    <row r="3" spans="1:17" ht="11.25" customHeight="1">
      <c r="B3" s="7"/>
      <c r="C3" s="7"/>
      <c r="D3" s="8"/>
      <c r="I3" s="37"/>
    </row>
    <row r="4" spans="1:17" ht="18" customHeight="1">
      <c r="A4" s="9" t="s">
        <v>1</v>
      </c>
      <c r="B4" s="52">
        <v>45963</v>
      </c>
      <c r="C4" s="52"/>
      <c r="D4" s="10"/>
      <c r="E4" s="11"/>
      <c r="H4" s="4"/>
      <c r="I4" s="4"/>
      <c r="J4" s="39"/>
      <c r="K4" s="67"/>
      <c r="L4" s="67"/>
      <c r="M4" s="67"/>
      <c r="N4" s="67"/>
      <c r="O4" s="67"/>
      <c r="P4" s="67"/>
      <c r="Q4" s="67"/>
    </row>
    <row r="5" spans="1:17" ht="18" customHeight="1">
      <c r="A5" s="9" t="s">
        <v>2</v>
      </c>
      <c r="B5" s="12"/>
      <c r="C5" s="12" t="s">
        <v>3</v>
      </c>
      <c r="D5" s="13"/>
      <c r="E5" s="14"/>
      <c r="F5" s="15"/>
      <c r="G5" s="16"/>
      <c r="H5" s="17"/>
      <c r="I5" s="40"/>
      <c r="J5" s="16"/>
      <c r="K5" s="67"/>
      <c r="L5" s="67"/>
      <c r="M5" s="67"/>
      <c r="N5" s="67"/>
      <c r="O5" s="67"/>
      <c r="P5" s="67"/>
      <c r="Q5" s="67"/>
    </row>
    <row r="6" spans="1:17" ht="16.5" customHeight="1">
      <c r="A6" s="9"/>
      <c r="B6" s="12"/>
      <c r="C6" s="12"/>
      <c r="D6" s="13"/>
      <c r="E6" s="14"/>
      <c r="F6" s="15"/>
      <c r="G6" s="16"/>
      <c r="H6" s="17"/>
      <c r="I6" s="40"/>
      <c r="J6" s="16"/>
      <c r="K6" s="16"/>
      <c r="L6" s="16"/>
      <c r="M6" s="16"/>
      <c r="N6" s="16"/>
      <c r="O6" s="16"/>
      <c r="P6" s="16"/>
      <c r="Q6" s="16"/>
    </row>
    <row r="7" spans="1:17" ht="30" customHeight="1">
      <c r="A7" s="18"/>
      <c r="B7" s="19"/>
      <c r="C7" s="19"/>
      <c r="D7" s="20"/>
      <c r="E7" s="21"/>
      <c r="F7" s="22"/>
      <c r="G7" s="22"/>
      <c r="H7" s="22"/>
      <c r="I7" s="22"/>
      <c r="J7" s="22"/>
      <c r="K7" s="53" t="s">
        <v>4</v>
      </c>
      <c r="L7" s="53"/>
      <c r="M7" s="53" t="s">
        <v>5</v>
      </c>
      <c r="N7" s="53"/>
      <c r="O7" s="53"/>
      <c r="P7" s="41" t="s">
        <v>6</v>
      </c>
      <c r="Q7" s="50"/>
    </row>
    <row r="8" spans="1:17" s="1" customFormat="1" ht="37.049999999999997" customHeight="1">
      <c r="A8" s="57" t="s">
        <v>7</v>
      </c>
      <c r="B8" s="62" t="s">
        <v>8</v>
      </c>
      <c r="C8" s="57" t="s">
        <v>9</v>
      </c>
      <c r="D8" s="57" t="s">
        <v>10</v>
      </c>
      <c r="E8" s="57" t="s">
        <v>11</v>
      </c>
      <c r="F8" s="62" t="s">
        <v>12</v>
      </c>
      <c r="G8" s="62" t="s">
        <v>13</v>
      </c>
      <c r="H8" s="57" t="s">
        <v>14</v>
      </c>
      <c r="I8" s="62" t="s">
        <v>15</v>
      </c>
      <c r="J8" s="62" t="s">
        <v>16</v>
      </c>
      <c r="K8" s="62" t="s">
        <v>17</v>
      </c>
      <c r="L8" s="62" t="s">
        <v>18</v>
      </c>
      <c r="M8" s="62" t="s">
        <v>17</v>
      </c>
      <c r="N8" s="62" t="s">
        <v>18</v>
      </c>
      <c r="O8" s="62" t="s">
        <v>19</v>
      </c>
      <c r="P8" s="62" t="s">
        <v>20</v>
      </c>
      <c r="Q8" s="62" t="s">
        <v>21</v>
      </c>
    </row>
    <row r="9" spans="1:17" s="1" customFormat="1" ht="33" customHeight="1">
      <c r="A9" s="57"/>
      <c r="B9" s="62"/>
      <c r="C9" s="57"/>
      <c r="D9" s="57"/>
      <c r="E9" s="57"/>
      <c r="F9" s="62"/>
      <c r="G9" s="62"/>
      <c r="H9" s="57"/>
      <c r="I9" s="62"/>
      <c r="J9" s="62"/>
      <c r="K9" s="62"/>
      <c r="L9" s="62"/>
      <c r="M9" s="62"/>
      <c r="N9" s="62"/>
      <c r="O9" s="62"/>
      <c r="P9" s="62"/>
      <c r="Q9" s="62"/>
    </row>
    <row r="10" spans="1:17" s="2" customFormat="1" ht="25.05" customHeight="1">
      <c r="A10" s="58" t="s">
        <v>22</v>
      </c>
      <c r="B10" s="58" t="s">
        <v>23</v>
      </c>
      <c r="C10" s="58" t="s">
        <v>24</v>
      </c>
      <c r="D10" s="58" t="s">
        <v>25</v>
      </c>
      <c r="E10" s="58" t="s">
        <v>26</v>
      </c>
      <c r="F10" s="58" t="s">
        <v>27</v>
      </c>
      <c r="G10" s="58">
        <v>171</v>
      </c>
      <c r="H10" s="58" t="s">
        <v>28</v>
      </c>
      <c r="I10" s="58" t="s">
        <v>29</v>
      </c>
      <c r="J10" s="58" t="s">
        <v>30</v>
      </c>
      <c r="K10" s="63">
        <v>89.5</v>
      </c>
      <c r="L10" s="63">
        <v>89.5</v>
      </c>
      <c r="M10" s="42">
        <f t="shared" ref="M10:M13" si="0">89.5*2+2</f>
        <v>181</v>
      </c>
      <c r="N10" s="42">
        <f t="shared" ref="N10:N13" si="1">89.5*2+10</f>
        <v>189</v>
      </c>
      <c r="O10" s="43">
        <v>4</v>
      </c>
      <c r="P10" s="44" t="s">
        <v>29</v>
      </c>
      <c r="Q10" s="44" t="s">
        <v>31</v>
      </c>
    </row>
    <row r="11" spans="1:17" s="2" customFormat="1" ht="25.05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64"/>
      <c r="L11" s="64"/>
      <c r="M11" s="42">
        <f t="shared" si="0"/>
        <v>181</v>
      </c>
      <c r="N11" s="42">
        <f t="shared" si="1"/>
        <v>189</v>
      </c>
      <c r="O11" s="43">
        <v>4</v>
      </c>
      <c r="P11" s="44" t="s">
        <v>29</v>
      </c>
      <c r="Q11" s="44" t="s">
        <v>31</v>
      </c>
    </row>
    <row r="12" spans="1:17" s="2" customFormat="1" ht="25.05" customHeight="1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64"/>
      <c r="L12" s="64"/>
      <c r="M12" s="42">
        <f t="shared" si="0"/>
        <v>181</v>
      </c>
      <c r="N12" s="42">
        <f t="shared" si="1"/>
        <v>189</v>
      </c>
      <c r="O12" s="43">
        <v>4</v>
      </c>
      <c r="P12" s="44" t="s">
        <v>29</v>
      </c>
      <c r="Q12" s="44" t="s">
        <v>31</v>
      </c>
    </row>
    <row r="13" spans="1:17" s="2" customFormat="1" ht="25.05" customHeight="1">
      <c r="A13" s="60"/>
      <c r="B13" s="60" t="s">
        <v>32</v>
      </c>
      <c r="C13" s="60" t="s">
        <v>24</v>
      </c>
      <c r="D13" s="60" t="s">
        <v>25</v>
      </c>
      <c r="E13" s="60" t="s">
        <v>33</v>
      </c>
      <c r="F13" s="60" t="s">
        <v>27</v>
      </c>
      <c r="G13" s="60">
        <v>277</v>
      </c>
      <c r="H13" s="60" t="s">
        <v>34</v>
      </c>
      <c r="I13" s="60" t="s">
        <v>29</v>
      </c>
      <c r="J13" s="60" t="s">
        <v>35</v>
      </c>
      <c r="K13" s="65">
        <v>122.2</v>
      </c>
      <c r="L13" s="65">
        <v>94.74</v>
      </c>
      <c r="M13" s="42">
        <f t="shared" si="0"/>
        <v>181</v>
      </c>
      <c r="N13" s="42">
        <f t="shared" si="1"/>
        <v>189</v>
      </c>
      <c r="O13" s="43">
        <v>4</v>
      </c>
      <c r="P13" s="44" t="s">
        <v>29</v>
      </c>
      <c r="Q13" s="44" t="s">
        <v>31</v>
      </c>
    </row>
    <row r="14" spans="1:17" s="2" customFormat="1" ht="25.05" customHeight="1">
      <c r="A14" s="58" t="s">
        <v>36</v>
      </c>
      <c r="B14" s="58" t="s">
        <v>23</v>
      </c>
      <c r="C14" s="58" t="s">
        <v>24</v>
      </c>
      <c r="D14" s="58" t="s">
        <v>25</v>
      </c>
      <c r="E14" s="58" t="s">
        <v>26</v>
      </c>
      <c r="F14" s="58" t="s">
        <v>27</v>
      </c>
      <c r="G14" s="58">
        <v>368</v>
      </c>
      <c r="H14" s="58" t="s">
        <v>28</v>
      </c>
      <c r="I14" s="58" t="s">
        <v>29</v>
      </c>
      <c r="J14" s="58" t="s">
        <v>30</v>
      </c>
      <c r="K14" s="63">
        <v>136</v>
      </c>
      <c r="L14" s="63">
        <v>110</v>
      </c>
      <c r="M14" s="42">
        <v>136</v>
      </c>
      <c r="N14" s="42">
        <v>120</v>
      </c>
      <c r="O14" s="43">
        <v>1</v>
      </c>
      <c r="P14" s="44" t="s">
        <v>29</v>
      </c>
      <c r="Q14" s="44" t="s">
        <v>31</v>
      </c>
    </row>
    <row r="15" spans="1:17" s="2" customFormat="1" ht="25.0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64"/>
      <c r="L15" s="64"/>
      <c r="M15" s="42">
        <v>136</v>
      </c>
      <c r="N15" s="42">
        <v>120</v>
      </c>
      <c r="O15" s="43">
        <v>1</v>
      </c>
      <c r="P15" s="44" t="s">
        <v>29</v>
      </c>
      <c r="Q15" s="44" t="s">
        <v>31</v>
      </c>
    </row>
    <row r="16" spans="1:17" s="2" customFormat="1" ht="25.0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64"/>
      <c r="L16" s="64"/>
      <c r="M16" s="42">
        <v>136</v>
      </c>
      <c r="N16" s="42">
        <v>120</v>
      </c>
      <c r="O16" s="43">
        <v>1</v>
      </c>
      <c r="P16" s="44" t="s">
        <v>29</v>
      </c>
      <c r="Q16" s="44" t="s">
        <v>31</v>
      </c>
    </row>
    <row r="17" spans="1:17" s="2" customFormat="1" ht="25.05" customHeight="1">
      <c r="A17" s="60"/>
      <c r="B17" s="60" t="s">
        <v>32</v>
      </c>
      <c r="C17" s="60" t="s">
        <v>24</v>
      </c>
      <c r="D17" s="60" t="s">
        <v>25</v>
      </c>
      <c r="E17" s="60" t="s">
        <v>33</v>
      </c>
      <c r="F17" s="60" t="s">
        <v>27</v>
      </c>
      <c r="G17" s="60">
        <v>277</v>
      </c>
      <c r="H17" s="60" t="s">
        <v>34</v>
      </c>
      <c r="I17" s="60" t="s">
        <v>29</v>
      </c>
      <c r="J17" s="60" t="s">
        <v>35</v>
      </c>
      <c r="K17" s="65">
        <v>122.2</v>
      </c>
      <c r="L17" s="65">
        <v>94.74</v>
      </c>
      <c r="M17" s="42">
        <v>136</v>
      </c>
      <c r="N17" s="42">
        <v>120</v>
      </c>
      <c r="O17" s="43">
        <v>1</v>
      </c>
      <c r="P17" s="44" t="s">
        <v>29</v>
      </c>
      <c r="Q17" s="44" t="s">
        <v>31</v>
      </c>
    </row>
    <row r="18" spans="1:17" s="2" customFormat="1" ht="25.05" customHeight="1">
      <c r="A18" s="58" t="s">
        <v>37</v>
      </c>
      <c r="B18" s="58" t="s">
        <v>23</v>
      </c>
      <c r="C18" s="58" t="s">
        <v>24</v>
      </c>
      <c r="D18" s="58" t="s">
        <v>25</v>
      </c>
      <c r="E18" s="58" t="s">
        <v>26</v>
      </c>
      <c r="F18" s="58" t="s">
        <v>38</v>
      </c>
      <c r="G18" s="58">
        <v>306</v>
      </c>
      <c r="H18" s="58" t="s">
        <v>39</v>
      </c>
      <c r="I18" s="58" t="s">
        <v>29</v>
      </c>
      <c r="J18" s="58" t="s">
        <v>30</v>
      </c>
      <c r="K18" s="63">
        <v>99</v>
      </c>
      <c r="L18" s="63">
        <v>67</v>
      </c>
      <c r="M18" s="42">
        <v>109</v>
      </c>
      <c r="N18" s="42">
        <f t="shared" ref="N18:N21" si="2">67*2</f>
        <v>134</v>
      </c>
      <c r="O18" s="43">
        <v>2</v>
      </c>
      <c r="P18" s="44" t="s">
        <v>29</v>
      </c>
      <c r="Q18" s="44" t="s">
        <v>31</v>
      </c>
    </row>
    <row r="19" spans="1:17" s="2" customFormat="1" ht="25.0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64"/>
      <c r="L19" s="64"/>
      <c r="M19" s="42">
        <v>109</v>
      </c>
      <c r="N19" s="42">
        <f t="shared" si="2"/>
        <v>134</v>
      </c>
      <c r="O19" s="43">
        <v>2</v>
      </c>
      <c r="P19" s="44" t="s">
        <v>29</v>
      </c>
      <c r="Q19" s="44" t="s">
        <v>31</v>
      </c>
    </row>
    <row r="20" spans="1:17" s="2" customFormat="1" ht="25.0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64"/>
      <c r="L20" s="64"/>
      <c r="M20" s="42">
        <v>109</v>
      </c>
      <c r="N20" s="42">
        <f t="shared" si="2"/>
        <v>134</v>
      </c>
      <c r="O20" s="43">
        <v>2</v>
      </c>
      <c r="P20" s="44" t="s">
        <v>29</v>
      </c>
      <c r="Q20" s="44" t="s">
        <v>31</v>
      </c>
    </row>
    <row r="21" spans="1:17" s="2" customFormat="1" ht="25.05" customHeight="1">
      <c r="A21" s="60"/>
      <c r="B21" s="60" t="s">
        <v>32</v>
      </c>
      <c r="C21" s="60" t="s">
        <v>24</v>
      </c>
      <c r="D21" s="60" t="s">
        <v>25</v>
      </c>
      <c r="E21" s="60" t="s">
        <v>33</v>
      </c>
      <c r="F21" s="60" t="s">
        <v>27</v>
      </c>
      <c r="G21" s="60">
        <v>277</v>
      </c>
      <c r="H21" s="60" t="s">
        <v>34</v>
      </c>
      <c r="I21" s="60" t="s">
        <v>29</v>
      </c>
      <c r="J21" s="60" t="s">
        <v>35</v>
      </c>
      <c r="K21" s="65">
        <v>122.2</v>
      </c>
      <c r="L21" s="65">
        <v>94.74</v>
      </c>
      <c r="M21" s="42">
        <v>109</v>
      </c>
      <c r="N21" s="42">
        <f t="shared" si="2"/>
        <v>134</v>
      </c>
      <c r="O21" s="43">
        <v>2</v>
      </c>
      <c r="P21" s="44" t="s">
        <v>29</v>
      </c>
      <c r="Q21" s="44" t="s">
        <v>31</v>
      </c>
    </row>
    <row r="22" spans="1:17" s="2" customFormat="1" ht="25.05" customHeight="1">
      <c r="A22" s="58" t="s">
        <v>40</v>
      </c>
      <c r="B22" s="58" t="s">
        <v>23</v>
      </c>
      <c r="C22" s="58" t="s">
        <v>24</v>
      </c>
      <c r="D22" s="58" t="s">
        <v>25</v>
      </c>
      <c r="E22" s="58" t="s">
        <v>26</v>
      </c>
      <c r="F22" s="58" t="s">
        <v>38</v>
      </c>
      <c r="G22" s="58">
        <v>287</v>
      </c>
      <c r="H22" s="58" t="s">
        <v>41</v>
      </c>
      <c r="I22" s="58" t="s">
        <v>29</v>
      </c>
      <c r="J22" s="58" t="s">
        <v>30</v>
      </c>
      <c r="K22" s="63">
        <v>99.8</v>
      </c>
      <c r="L22" s="63">
        <v>80.900000000000006</v>
      </c>
      <c r="M22" s="42">
        <v>109.8</v>
      </c>
      <c r="N22" s="42">
        <f t="shared" ref="N22:N25" si="3">80.9*2</f>
        <v>161.80000000000001</v>
      </c>
      <c r="O22" s="43">
        <v>2</v>
      </c>
      <c r="P22" s="44" t="s">
        <v>29</v>
      </c>
      <c r="Q22" s="44" t="s">
        <v>31</v>
      </c>
    </row>
    <row r="23" spans="1:17" s="2" customFormat="1" ht="25.0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64"/>
      <c r="L23" s="64"/>
      <c r="M23" s="42">
        <v>109.8</v>
      </c>
      <c r="N23" s="42">
        <f t="shared" si="3"/>
        <v>161.80000000000001</v>
      </c>
      <c r="O23" s="43">
        <v>2</v>
      </c>
      <c r="P23" s="44" t="s">
        <v>29</v>
      </c>
      <c r="Q23" s="44" t="s">
        <v>31</v>
      </c>
    </row>
    <row r="24" spans="1:17" s="2" customFormat="1" ht="25.0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64"/>
      <c r="L24" s="64"/>
      <c r="M24" s="42">
        <v>109.8</v>
      </c>
      <c r="N24" s="42">
        <f t="shared" si="3"/>
        <v>161.80000000000001</v>
      </c>
      <c r="O24" s="43">
        <v>2</v>
      </c>
      <c r="P24" s="44" t="s">
        <v>29</v>
      </c>
      <c r="Q24" s="44" t="s">
        <v>31</v>
      </c>
    </row>
    <row r="25" spans="1:17" s="2" customFormat="1" ht="25.05" customHeight="1">
      <c r="A25" s="60"/>
      <c r="B25" s="60" t="s">
        <v>32</v>
      </c>
      <c r="C25" s="60" t="s">
        <v>24</v>
      </c>
      <c r="D25" s="60" t="s">
        <v>25</v>
      </c>
      <c r="E25" s="60" t="s">
        <v>33</v>
      </c>
      <c r="F25" s="60" t="s">
        <v>27</v>
      </c>
      <c r="G25" s="60">
        <v>277</v>
      </c>
      <c r="H25" s="60" t="s">
        <v>34</v>
      </c>
      <c r="I25" s="60" t="s">
        <v>29</v>
      </c>
      <c r="J25" s="60" t="s">
        <v>35</v>
      </c>
      <c r="K25" s="65"/>
      <c r="L25" s="65"/>
      <c r="M25" s="42">
        <v>109.8</v>
      </c>
      <c r="N25" s="42">
        <f t="shared" si="3"/>
        <v>161.80000000000001</v>
      </c>
      <c r="O25" s="43">
        <v>2</v>
      </c>
      <c r="P25" s="44" t="s">
        <v>29</v>
      </c>
      <c r="Q25" s="44" t="s">
        <v>31</v>
      </c>
    </row>
    <row r="26" spans="1:17" s="2" customFormat="1" ht="25.05" customHeight="1">
      <c r="A26" s="58" t="s">
        <v>42</v>
      </c>
      <c r="B26" s="58" t="s">
        <v>23</v>
      </c>
      <c r="C26" s="58" t="s">
        <v>24</v>
      </c>
      <c r="D26" s="58" t="s">
        <v>25</v>
      </c>
      <c r="E26" s="58" t="s">
        <v>26</v>
      </c>
      <c r="F26" s="58" t="s">
        <v>38</v>
      </c>
      <c r="G26" s="58">
        <v>242</v>
      </c>
      <c r="H26" s="58" t="s">
        <v>41</v>
      </c>
      <c r="I26" s="58" t="s">
        <v>29</v>
      </c>
      <c r="J26" s="58" t="s">
        <v>30</v>
      </c>
      <c r="K26" s="63">
        <v>75.150000000000006</v>
      </c>
      <c r="L26" s="63">
        <v>57.73</v>
      </c>
      <c r="M26" s="42">
        <f t="shared" ref="M26:M29" si="4">75.15*2</f>
        <v>150.30000000000001</v>
      </c>
      <c r="N26" s="42">
        <f t="shared" ref="N26:N29" si="5">57.73*2+10</f>
        <v>125.46</v>
      </c>
      <c r="O26" s="43">
        <v>4</v>
      </c>
      <c r="P26" s="44" t="s">
        <v>29</v>
      </c>
      <c r="Q26" s="44" t="s">
        <v>31</v>
      </c>
    </row>
    <row r="27" spans="1:17" s="2" customFormat="1" ht="25.0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64"/>
      <c r="L27" s="64"/>
      <c r="M27" s="42">
        <f t="shared" si="4"/>
        <v>150.30000000000001</v>
      </c>
      <c r="N27" s="42">
        <f t="shared" si="5"/>
        <v>125.46</v>
      </c>
      <c r="O27" s="43">
        <v>4</v>
      </c>
      <c r="P27" s="44" t="s">
        <v>29</v>
      </c>
      <c r="Q27" s="44" t="s">
        <v>31</v>
      </c>
    </row>
    <row r="28" spans="1:17" s="2" customFormat="1" ht="25.0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64"/>
      <c r="L28" s="64"/>
      <c r="M28" s="42">
        <f t="shared" si="4"/>
        <v>150.30000000000001</v>
      </c>
      <c r="N28" s="42">
        <f t="shared" si="5"/>
        <v>125.46</v>
      </c>
      <c r="O28" s="43">
        <v>4</v>
      </c>
      <c r="P28" s="44" t="s">
        <v>29</v>
      </c>
      <c r="Q28" s="44" t="s">
        <v>31</v>
      </c>
    </row>
    <row r="29" spans="1:17" s="2" customFormat="1" ht="25.05" customHeight="1">
      <c r="A29" s="60"/>
      <c r="B29" s="60" t="s">
        <v>32</v>
      </c>
      <c r="C29" s="60" t="s">
        <v>24</v>
      </c>
      <c r="D29" s="60" t="s">
        <v>25</v>
      </c>
      <c r="E29" s="60" t="s">
        <v>33</v>
      </c>
      <c r="F29" s="60"/>
      <c r="G29" s="60"/>
      <c r="H29" s="60"/>
      <c r="I29" s="60" t="s">
        <v>29</v>
      </c>
      <c r="J29" s="60" t="s">
        <v>35</v>
      </c>
      <c r="K29" s="65"/>
      <c r="L29" s="65"/>
      <c r="M29" s="42">
        <f t="shared" si="4"/>
        <v>150.30000000000001</v>
      </c>
      <c r="N29" s="42">
        <f t="shared" si="5"/>
        <v>125.46</v>
      </c>
      <c r="O29" s="43">
        <v>4</v>
      </c>
      <c r="P29" s="44" t="s">
        <v>29</v>
      </c>
      <c r="Q29" s="44" t="s">
        <v>31</v>
      </c>
    </row>
    <row r="30" spans="1:17" s="2" customFormat="1" ht="25.05" customHeight="1">
      <c r="A30" s="58" t="s">
        <v>43</v>
      </c>
      <c r="B30" s="58" t="s">
        <v>23</v>
      </c>
      <c r="C30" s="58" t="s">
        <v>24</v>
      </c>
      <c r="D30" s="58" t="s">
        <v>25</v>
      </c>
      <c r="E30" s="58" t="s">
        <v>26</v>
      </c>
      <c r="F30" s="58" t="s">
        <v>38</v>
      </c>
      <c r="G30" s="58">
        <v>309</v>
      </c>
      <c r="H30" s="58" t="s">
        <v>41</v>
      </c>
      <c r="I30" s="58" t="s">
        <v>29</v>
      </c>
      <c r="J30" s="58" t="s">
        <v>30</v>
      </c>
      <c r="K30" s="63">
        <v>177.32</v>
      </c>
      <c r="L30" s="63">
        <v>70.7</v>
      </c>
      <c r="M30" s="42">
        <v>187.32</v>
      </c>
      <c r="N30" s="42">
        <v>141.4</v>
      </c>
      <c r="O30" s="43">
        <v>2</v>
      </c>
      <c r="P30" s="44" t="s">
        <v>29</v>
      </c>
      <c r="Q30" s="44" t="s">
        <v>31</v>
      </c>
    </row>
    <row r="31" spans="1:17" s="2" customFormat="1" ht="25.0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64"/>
      <c r="L31" s="64"/>
      <c r="M31" s="42">
        <v>187.32</v>
      </c>
      <c r="N31" s="42">
        <v>141.4</v>
      </c>
      <c r="O31" s="43">
        <v>2</v>
      </c>
      <c r="P31" s="44" t="s">
        <v>29</v>
      </c>
      <c r="Q31" s="44" t="s">
        <v>31</v>
      </c>
    </row>
    <row r="32" spans="1:17" s="2" customFormat="1" ht="25.0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64"/>
      <c r="L32" s="64"/>
      <c r="M32" s="42">
        <v>187.32</v>
      </c>
      <c r="N32" s="42">
        <v>141.4</v>
      </c>
      <c r="O32" s="43">
        <v>2</v>
      </c>
      <c r="P32" s="44" t="s">
        <v>29</v>
      </c>
      <c r="Q32" s="44" t="s">
        <v>31</v>
      </c>
    </row>
    <row r="33" spans="1:17" s="2" customFormat="1" ht="25.05" customHeight="1">
      <c r="A33" s="60"/>
      <c r="B33" s="60" t="s">
        <v>32</v>
      </c>
      <c r="C33" s="60" t="s">
        <v>24</v>
      </c>
      <c r="D33" s="60" t="s">
        <v>25</v>
      </c>
      <c r="E33" s="60" t="s">
        <v>33</v>
      </c>
      <c r="F33" s="60"/>
      <c r="G33" s="60"/>
      <c r="H33" s="60"/>
      <c r="I33" s="60" t="s">
        <v>29</v>
      </c>
      <c r="J33" s="60" t="s">
        <v>35</v>
      </c>
      <c r="K33" s="65"/>
      <c r="L33" s="65"/>
      <c r="M33" s="42">
        <v>187.32</v>
      </c>
      <c r="N33" s="42">
        <v>141.4</v>
      </c>
      <c r="O33" s="43">
        <v>2</v>
      </c>
      <c r="P33" s="44" t="s">
        <v>29</v>
      </c>
      <c r="Q33" s="44" t="s">
        <v>31</v>
      </c>
    </row>
    <row r="34" spans="1:17" s="2" customFormat="1" ht="25.05" customHeight="1">
      <c r="A34" s="58" t="s">
        <v>44</v>
      </c>
      <c r="B34" s="58" t="s">
        <v>23</v>
      </c>
      <c r="C34" s="58" t="s">
        <v>24</v>
      </c>
      <c r="D34" s="58" t="s">
        <v>25</v>
      </c>
      <c r="E34" s="58" t="s">
        <v>26</v>
      </c>
      <c r="F34" s="58" t="s">
        <v>38</v>
      </c>
      <c r="G34" s="58">
        <v>234</v>
      </c>
      <c r="H34" s="58" t="s">
        <v>41</v>
      </c>
      <c r="I34" s="58" t="s">
        <v>29</v>
      </c>
      <c r="J34" s="58" t="s">
        <v>30</v>
      </c>
      <c r="K34" s="63">
        <v>99.7</v>
      </c>
      <c r="L34" s="63">
        <v>66.900000000000006</v>
      </c>
      <c r="M34" s="42">
        <v>109.7</v>
      </c>
      <c r="N34" s="42">
        <f t="shared" ref="N34:N37" si="6">66.9*2</f>
        <v>133.80000000000001</v>
      </c>
      <c r="O34" s="43">
        <v>2</v>
      </c>
      <c r="P34" s="44" t="s">
        <v>29</v>
      </c>
      <c r="Q34" s="44" t="s">
        <v>31</v>
      </c>
    </row>
    <row r="35" spans="1:17" s="2" customFormat="1" ht="25.0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64"/>
      <c r="L35" s="64"/>
      <c r="M35" s="42">
        <v>109.7</v>
      </c>
      <c r="N35" s="42">
        <f t="shared" si="6"/>
        <v>133.80000000000001</v>
      </c>
      <c r="O35" s="43">
        <v>2</v>
      </c>
      <c r="P35" s="44" t="s">
        <v>29</v>
      </c>
      <c r="Q35" s="44" t="s">
        <v>31</v>
      </c>
    </row>
    <row r="36" spans="1:17" s="2" customFormat="1" ht="25.0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64"/>
      <c r="L36" s="64"/>
      <c r="M36" s="42">
        <v>109.7</v>
      </c>
      <c r="N36" s="42">
        <f t="shared" si="6"/>
        <v>133.80000000000001</v>
      </c>
      <c r="O36" s="43">
        <v>2</v>
      </c>
      <c r="P36" s="44" t="s">
        <v>29</v>
      </c>
      <c r="Q36" s="44" t="s">
        <v>31</v>
      </c>
    </row>
    <row r="37" spans="1:17" s="2" customFormat="1" ht="25.05" customHeight="1">
      <c r="A37" s="60"/>
      <c r="B37" s="60" t="s">
        <v>32</v>
      </c>
      <c r="C37" s="60" t="s">
        <v>24</v>
      </c>
      <c r="D37" s="60" t="s">
        <v>25</v>
      </c>
      <c r="E37" s="60" t="s">
        <v>33</v>
      </c>
      <c r="F37" s="60"/>
      <c r="G37" s="60"/>
      <c r="H37" s="60"/>
      <c r="I37" s="60" t="s">
        <v>29</v>
      </c>
      <c r="J37" s="60" t="s">
        <v>35</v>
      </c>
      <c r="K37" s="65"/>
      <c r="L37" s="65"/>
      <c r="M37" s="42">
        <v>109.7</v>
      </c>
      <c r="N37" s="42">
        <f t="shared" si="6"/>
        <v>133.80000000000001</v>
      </c>
      <c r="O37" s="43">
        <v>2</v>
      </c>
      <c r="P37" s="44" t="s">
        <v>29</v>
      </c>
      <c r="Q37" s="44" t="s">
        <v>31</v>
      </c>
    </row>
    <row r="38" spans="1:17" s="3" customFormat="1" ht="20.100000000000001" customHeight="1">
      <c r="B38" s="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36"/>
      <c r="O38" s="23"/>
      <c r="P38" s="23"/>
      <c r="Q38" s="51"/>
    </row>
    <row r="39" spans="1:17" s="2" customFormat="1" ht="20.100000000000001" customHeight="1">
      <c r="A39" s="24"/>
      <c r="C39" s="25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45"/>
      <c r="P39" s="23"/>
      <c r="Q39" s="51"/>
    </row>
    <row r="40" spans="1:17" s="3" customFormat="1" ht="20.100000000000001" customHeight="1">
      <c r="B40" s="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36"/>
      <c r="O40" s="23"/>
      <c r="P40" s="23"/>
      <c r="Q40" s="51"/>
    </row>
    <row r="41" spans="1:17" s="3" customFormat="1" ht="20.100000000000001" customHeight="1">
      <c r="B41" s="2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49"/>
    </row>
    <row r="42" spans="1:17" s="3" customFormat="1" ht="20.100000000000001" customHeight="1">
      <c r="B42" s="26"/>
      <c r="I42" s="46"/>
      <c r="J42" s="47"/>
      <c r="K42" s="48"/>
      <c r="L42" s="48"/>
      <c r="M42" s="48"/>
      <c r="N42" s="48"/>
      <c r="O42" s="46"/>
      <c r="P42" s="49"/>
      <c r="Q42" s="49"/>
    </row>
    <row r="43" spans="1:17" s="3" customFormat="1" ht="20.100000000000001" customHeight="1">
      <c r="A43" s="61"/>
      <c r="B43" s="27"/>
      <c r="I43" s="46"/>
      <c r="J43" s="47"/>
      <c r="K43" s="48"/>
      <c r="L43" s="48"/>
      <c r="M43" s="48"/>
      <c r="N43" s="48"/>
      <c r="O43" s="46"/>
      <c r="P43" s="49"/>
      <c r="Q43" s="49"/>
    </row>
    <row r="44" spans="1:17" s="3" customFormat="1" ht="20.100000000000001" customHeight="1">
      <c r="A44" s="61"/>
      <c r="B44" s="28"/>
      <c r="I44" s="46"/>
      <c r="J44" s="47"/>
      <c r="K44" s="48"/>
      <c r="L44" s="48"/>
      <c r="M44" s="48"/>
      <c r="N44" s="48"/>
      <c r="O44" s="46"/>
      <c r="P44" s="49"/>
      <c r="Q44" s="49"/>
    </row>
    <row r="45" spans="1:17" s="3" customFormat="1" ht="20.100000000000001" customHeight="1">
      <c r="A45" s="61"/>
      <c r="B45" s="29"/>
      <c r="C45" s="30"/>
      <c r="I45" s="46"/>
      <c r="J45" s="47"/>
      <c r="K45" s="48"/>
      <c r="L45" s="48"/>
      <c r="M45" s="48"/>
      <c r="N45" s="48"/>
      <c r="O45" s="46"/>
      <c r="P45" s="49"/>
      <c r="Q45" s="49"/>
    </row>
    <row r="46" spans="1:17" s="3" customFormat="1" ht="20.100000000000001" customHeight="1">
      <c r="B46" s="29"/>
      <c r="C46" s="31"/>
      <c r="I46" s="46"/>
      <c r="J46" s="47"/>
      <c r="K46" s="48"/>
      <c r="L46" s="48"/>
      <c r="M46" s="48"/>
      <c r="N46" s="48"/>
      <c r="O46" s="46"/>
      <c r="P46" s="49"/>
      <c r="Q46" s="49"/>
    </row>
    <row r="47" spans="1:17" s="3" customFormat="1" ht="20.100000000000001" customHeight="1">
      <c r="B47" s="32"/>
      <c r="C47" s="31"/>
      <c r="E47" s="33"/>
      <c r="I47" s="46"/>
      <c r="J47" s="47"/>
      <c r="K47" s="48"/>
      <c r="L47" s="48"/>
      <c r="M47" s="48"/>
      <c r="N47" s="48"/>
      <c r="O47" s="46"/>
      <c r="P47" s="49"/>
      <c r="Q47" s="49"/>
    </row>
    <row r="48" spans="1:17" s="3" customFormat="1" ht="20.100000000000001" customHeight="1">
      <c r="B48" s="32"/>
      <c r="E48" s="31"/>
      <c r="I48" s="46"/>
      <c r="J48" s="47"/>
      <c r="K48" s="48"/>
      <c r="L48" s="48"/>
      <c r="M48" s="48"/>
      <c r="N48" s="48"/>
      <c r="O48" s="46"/>
      <c r="P48" s="49"/>
      <c r="Q48" s="49"/>
    </row>
    <row r="49" spans="1:17" s="3" customFormat="1" ht="20.100000000000001" customHeight="1">
      <c r="B49" s="29"/>
      <c r="C49" s="29"/>
      <c r="I49" s="46"/>
      <c r="J49" s="47"/>
      <c r="K49" s="48"/>
      <c r="L49" s="48"/>
      <c r="M49" s="48"/>
      <c r="N49" s="48"/>
      <c r="O49" s="46"/>
      <c r="P49" s="49"/>
      <c r="Q49" s="49"/>
    </row>
    <row r="50" spans="1:17" s="3" customFormat="1" ht="20.100000000000001" customHeight="1">
      <c r="B50" s="32"/>
      <c r="I50" s="46"/>
      <c r="J50" s="47"/>
      <c r="K50" s="48"/>
      <c r="L50" s="48"/>
      <c r="M50" s="48"/>
      <c r="N50" s="48"/>
      <c r="O50" s="46"/>
      <c r="P50" s="49"/>
      <c r="Q50" s="49"/>
    </row>
    <row r="51" spans="1:17" s="3" customFormat="1" ht="20.100000000000001" customHeight="1">
      <c r="B51" s="32"/>
      <c r="I51" s="46"/>
      <c r="J51" s="47"/>
      <c r="K51" s="48"/>
      <c r="L51" s="48"/>
      <c r="M51" s="48"/>
      <c r="N51" s="48"/>
      <c r="O51" s="46"/>
      <c r="P51" s="49"/>
      <c r="Q51" s="49"/>
    </row>
    <row r="52" spans="1:17" s="3" customFormat="1" ht="20.100000000000001" customHeight="1">
      <c r="D52" s="34"/>
      <c r="E52" s="35"/>
      <c r="H52" s="55"/>
      <c r="I52" s="55"/>
      <c r="J52" s="47"/>
      <c r="K52" s="48"/>
      <c r="L52" s="48"/>
      <c r="M52" s="48"/>
      <c r="O52" s="34"/>
      <c r="P52" s="56"/>
      <c r="Q52" s="56"/>
    </row>
    <row r="53" spans="1:17" s="3" customFormat="1" ht="20.100000000000001" customHeight="1">
      <c r="A53" s="36"/>
      <c r="I53" s="46"/>
      <c r="J53" s="47"/>
      <c r="K53" s="48"/>
      <c r="L53" s="48"/>
      <c r="M53" s="48"/>
      <c r="N53" s="48"/>
      <c r="O53" s="46"/>
      <c r="P53" s="49"/>
      <c r="Q53" s="49"/>
    </row>
    <row r="54" spans="1:17">
      <c r="A54" s="36"/>
      <c r="B54" s="36"/>
      <c r="H54" s="36"/>
      <c r="I54" s="36"/>
      <c r="L54" s="36"/>
      <c r="P54" s="66"/>
      <c r="Q54" s="66"/>
    </row>
    <row r="55" spans="1:17">
      <c r="A55" s="36"/>
      <c r="B55" s="36"/>
      <c r="C55" s="36"/>
      <c r="J55" s="36"/>
      <c r="P55" s="66"/>
      <c r="Q55" s="66"/>
    </row>
    <row r="56" spans="1:17">
      <c r="A56" s="36"/>
      <c r="B56" s="36"/>
      <c r="I56" s="36"/>
      <c r="K56" s="36"/>
      <c r="N56" s="36"/>
      <c r="P56" s="36"/>
    </row>
    <row r="57" spans="1:17">
      <c r="A57" s="36"/>
      <c r="P57" s="36"/>
    </row>
    <row r="58" spans="1:17">
      <c r="J58" s="36"/>
    </row>
    <row r="60" spans="1:17">
      <c r="J60" s="36"/>
    </row>
    <row r="64" spans="1:17">
      <c r="A64" s="36"/>
    </row>
    <row r="65" spans="1:10">
      <c r="A65" s="36"/>
    </row>
    <row r="66" spans="1:10">
      <c r="A66" s="36"/>
    </row>
    <row r="67" spans="1:10">
      <c r="A67" s="36"/>
      <c r="J67" s="36"/>
    </row>
    <row r="68" spans="1:10">
      <c r="A68" s="36"/>
    </row>
    <row r="69" spans="1:10">
      <c r="B69" s="36"/>
    </row>
    <row r="71" spans="1:10">
      <c r="C71" s="36"/>
      <c r="J71" s="36"/>
    </row>
    <row r="72" spans="1:10">
      <c r="A72" s="36"/>
      <c r="J72" s="36"/>
    </row>
    <row r="75" spans="1:10">
      <c r="A75" s="36"/>
      <c r="G75" s="36"/>
    </row>
    <row r="76" spans="1:10">
      <c r="A76" s="36"/>
    </row>
    <row r="77" spans="1:10">
      <c r="A77" s="36"/>
    </row>
  </sheetData>
  <autoFilter ref="A7:Q41" xr:uid="{00000000-0009-0000-0000-000000000000}"/>
  <mergeCells count="110">
    <mergeCell ref="K4:Q5"/>
    <mergeCell ref="P54:Q55"/>
    <mergeCell ref="M8:M9"/>
    <mergeCell ref="N8:N9"/>
    <mergeCell ref="O8:O9"/>
    <mergeCell ref="P8:P9"/>
    <mergeCell ref="Q8:Q9"/>
    <mergeCell ref="K8:K9"/>
    <mergeCell ref="K10:K13"/>
    <mergeCell ref="K14:K17"/>
    <mergeCell ref="K18:K21"/>
    <mergeCell ref="K22:K25"/>
    <mergeCell ref="K26:K29"/>
    <mergeCell ref="K30:K33"/>
    <mergeCell ref="K34:K37"/>
    <mergeCell ref="L8:L9"/>
    <mergeCell ref="L10:L13"/>
    <mergeCell ref="L14:L17"/>
    <mergeCell ref="L18:L21"/>
    <mergeCell ref="L22:L25"/>
    <mergeCell ref="L26:L29"/>
    <mergeCell ref="L30:L33"/>
    <mergeCell ref="L34:L37"/>
    <mergeCell ref="I8:I9"/>
    <mergeCell ref="I10:I13"/>
    <mergeCell ref="I14:I17"/>
    <mergeCell ref="I18:I21"/>
    <mergeCell ref="I22:I25"/>
    <mergeCell ref="I26:I29"/>
    <mergeCell ref="I30:I33"/>
    <mergeCell ref="I34:I37"/>
    <mergeCell ref="J8:J9"/>
    <mergeCell ref="J10:J13"/>
    <mergeCell ref="J14:J17"/>
    <mergeCell ref="J18:J21"/>
    <mergeCell ref="J22:J25"/>
    <mergeCell ref="J26:J29"/>
    <mergeCell ref="J30:J33"/>
    <mergeCell ref="J34:J37"/>
    <mergeCell ref="G8:G9"/>
    <mergeCell ref="G10:G13"/>
    <mergeCell ref="G14:G17"/>
    <mergeCell ref="G18:G21"/>
    <mergeCell ref="G22:G25"/>
    <mergeCell ref="G26:G29"/>
    <mergeCell ref="G30:G33"/>
    <mergeCell ref="G34:G37"/>
    <mergeCell ref="H8:H9"/>
    <mergeCell ref="H10:H13"/>
    <mergeCell ref="H14:H17"/>
    <mergeCell ref="H18:H21"/>
    <mergeCell ref="H22:H25"/>
    <mergeCell ref="H26:H29"/>
    <mergeCell ref="H30:H33"/>
    <mergeCell ref="H34:H37"/>
    <mergeCell ref="E8:E9"/>
    <mergeCell ref="E10:E13"/>
    <mergeCell ref="E14:E17"/>
    <mergeCell ref="E18:E21"/>
    <mergeCell ref="E22:E25"/>
    <mergeCell ref="E26:E29"/>
    <mergeCell ref="E30:E33"/>
    <mergeCell ref="E34:E37"/>
    <mergeCell ref="F8:F9"/>
    <mergeCell ref="F10:F13"/>
    <mergeCell ref="F14:F17"/>
    <mergeCell ref="F18:F21"/>
    <mergeCell ref="F22:F25"/>
    <mergeCell ref="F26:F29"/>
    <mergeCell ref="F30:F33"/>
    <mergeCell ref="F34:F37"/>
    <mergeCell ref="C34:C37"/>
    <mergeCell ref="D8:D9"/>
    <mergeCell ref="D10:D13"/>
    <mergeCell ref="D14:D17"/>
    <mergeCell ref="D18:D21"/>
    <mergeCell ref="D22:D25"/>
    <mergeCell ref="D26:D29"/>
    <mergeCell ref="D30:D33"/>
    <mergeCell ref="D34:D37"/>
    <mergeCell ref="A8:A9"/>
    <mergeCell ref="A10:A13"/>
    <mergeCell ref="A14:A17"/>
    <mergeCell ref="A18:A21"/>
    <mergeCell ref="A22:A25"/>
    <mergeCell ref="A26:A29"/>
    <mergeCell ref="A30:A33"/>
    <mergeCell ref="A34:A37"/>
    <mergeCell ref="A43:A45"/>
    <mergeCell ref="B4:C4"/>
    <mergeCell ref="K7:L7"/>
    <mergeCell ref="M7:O7"/>
    <mergeCell ref="C41:P41"/>
    <mergeCell ref="H52:I52"/>
    <mergeCell ref="P52:Q52"/>
    <mergeCell ref="B8:B9"/>
    <mergeCell ref="B10:B13"/>
    <mergeCell ref="B14:B17"/>
    <mergeCell ref="B18:B21"/>
    <mergeCell ref="B22:B25"/>
    <mergeCell ref="B26:B29"/>
    <mergeCell ref="B30:B33"/>
    <mergeCell ref="B34:B37"/>
    <mergeCell ref="C8:C9"/>
    <mergeCell ref="C10:C13"/>
    <mergeCell ref="C14:C17"/>
    <mergeCell ref="C18:C21"/>
    <mergeCell ref="C22:C25"/>
    <mergeCell ref="C26:C29"/>
    <mergeCell ref="C30:C33"/>
  </mergeCells>
  <pageMargins left="0.38888888888888901" right="0.38888888888888901" top="0.38888888888888901" bottom="0.38888888888888901" header="0.38888888888888901" footer="0.38888888888888901"/>
  <pageSetup paperSize="8" scale="85" orientation="landscape" horizontalDpi="3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opLeftCell="A10" workbookViewId="0">
      <selection activeCell="A56" sqref="A56"/>
    </sheetView>
  </sheetViews>
  <sheetFormatPr baseColWidth="10" defaultColWidth="9.109375" defaultRowHeight="13.2"/>
  <sheetData>
    <row r="1" spans="1:22">
      <c r="A1" t="s">
        <v>45</v>
      </c>
      <c r="H1" t="s">
        <v>46</v>
      </c>
      <c r="O1" t="s">
        <v>47</v>
      </c>
      <c r="V1" t="s">
        <v>48</v>
      </c>
    </row>
    <row r="28" spans="1:22">
      <c r="A28" t="s">
        <v>49</v>
      </c>
      <c r="H28" t="s">
        <v>50</v>
      </c>
      <c r="O28" t="s">
        <v>51</v>
      </c>
      <c r="V28" t="s">
        <v>52</v>
      </c>
    </row>
    <row r="55" spans="1:1">
      <c r="A55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3"/>
  <sheetViews>
    <sheetView zoomScale="55" zoomScaleNormal="55" workbookViewId="0">
      <selection activeCell="A54" sqref="A54"/>
    </sheetView>
  </sheetViews>
  <sheetFormatPr baseColWidth="10" defaultColWidth="9.109375" defaultRowHeight="13.2"/>
  <sheetData>
    <row r="1" spans="1:25">
      <c r="A1" t="s">
        <v>45</v>
      </c>
      <c r="I1" t="s">
        <v>46</v>
      </c>
      <c r="Q1" t="s">
        <v>47</v>
      </c>
      <c r="Y1" t="s">
        <v>48</v>
      </c>
    </row>
    <row r="27" spans="1:25">
      <c r="A27" t="s">
        <v>49</v>
      </c>
      <c r="I27" t="s">
        <v>50</v>
      </c>
      <c r="Q27" t="s">
        <v>51</v>
      </c>
      <c r="Y27" t="s">
        <v>52</v>
      </c>
    </row>
    <row r="53" spans="1:1">
      <c r="A53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1"/>
  <sheetViews>
    <sheetView zoomScale="55" zoomScaleNormal="55" workbookViewId="0">
      <selection activeCell="A52" sqref="A52"/>
    </sheetView>
  </sheetViews>
  <sheetFormatPr baseColWidth="10" defaultColWidth="9.109375" defaultRowHeight="13.2"/>
  <sheetData>
    <row r="1" spans="1:28">
      <c r="A1" t="s">
        <v>45</v>
      </c>
      <c r="J1" t="s">
        <v>46</v>
      </c>
      <c r="S1" t="s">
        <v>47</v>
      </c>
      <c r="AB1" t="s">
        <v>48</v>
      </c>
    </row>
    <row r="26" spans="1:28">
      <c r="A26" t="s">
        <v>49</v>
      </c>
      <c r="J26" t="s">
        <v>50</v>
      </c>
      <c r="S26" t="s">
        <v>51</v>
      </c>
      <c r="AB26" t="s">
        <v>52</v>
      </c>
    </row>
    <row r="51" spans="1:1">
      <c r="A51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5"/>
  <sheetViews>
    <sheetView zoomScale="55" zoomScaleNormal="55" workbookViewId="0">
      <selection activeCell="A56" sqref="A56"/>
    </sheetView>
  </sheetViews>
  <sheetFormatPr baseColWidth="10" defaultColWidth="9.109375" defaultRowHeight="13.2"/>
  <cols>
    <col min="9" max="9" width="2.109375" customWidth="1"/>
    <col min="18" max="18" width="1.6640625" customWidth="1"/>
    <col min="27" max="27" width="2.109375" customWidth="1"/>
  </cols>
  <sheetData>
    <row r="1" spans="1:28">
      <c r="A1" t="s">
        <v>45</v>
      </c>
      <c r="J1" t="s">
        <v>46</v>
      </c>
      <c r="S1" t="s">
        <v>47</v>
      </c>
      <c r="AB1" t="s">
        <v>48</v>
      </c>
    </row>
    <row r="28" spans="1:28">
      <c r="A28" t="s">
        <v>49</v>
      </c>
      <c r="J28" t="s">
        <v>50</v>
      </c>
      <c r="S28" t="s">
        <v>51</v>
      </c>
      <c r="AB28" t="s">
        <v>52</v>
      </c>
    </row>
    <row r="55" spans="1:1">
      <c r="A55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4"/>
  <sheetViews>
    <sheetView workbookViewId="0">
      <selection activeCell="A55" sqref="A55"/>
    </sheetView>
  </sheetViews>
  <sheetFormatPr baseColWidth="10" defaultColWidth="9.109375" defaultRowHeight="13.2"/>
  <sheetData>
    <row r="1" spans="1:28">
      <c r="A1" t="s">
        <v>45</v>
      </c>
      <c r="J1" t="s">
        <v>46</v>
      </c>
      <c r="S1" t="s">
        <v>47</v>
      </c>
      <c r="AB1" t="s">
        <v>48</v>
      </c>
    </row>
    <row r="28" spans="1:28">
      <c r="A28" t="s">
        <v>49</v>
      </c>
      <c r="J28" t="s">
        <v>50</v>
      </c>
      <c r="S28" t="s">
        <v>51</v>
      </c>
      <c r="AB28" t="s">
        <v>52</v>
      </c>
    </row>
    <row r="54" spans="1:1">
      <c r="A54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7"/>
  <sheetViews>
    <sheetView workbookViewId="0">
      <selection activeCell="U48" sqref="U48"/>
    </sheetView>
  </sheetViews>
  <sheetFormatPr baseColWidth="10" defaultColWidth="9.109375" defaultRowHeight="13.2"/>
  <sheetData>
    <row r="1" spans="1:21">
      <c r="A1" t="s">
        <v>45</v>
      </c>
      <c r="K1" t="s">
        <v>46</v>
      </c>
      <c r="U1" t="s">
        <v>47</v>
      </c>
    </row>
    <row r="24" spans="1:21">
      <c r="A24" t="s">
        <v>48</v>
      </c>
      <c r="K24" t="s">
        <v>49</v>
      </c>
      <c r="U24" t="s">
        <v>50</v>
      </c>
    </row>
    <row r="47" spans="1:21">
      <c r="A47" t="s">
        <v>51</v>
      </c>
      <c r="K47" t="s">
        <v>52</v>
      </c>
      <c r="U47" t="s">
        <v>53</v>
      </c>
    </row>
  </sheetData>
  <pageMargins left="0.75" right="0.75" top="1" bottom="1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1"/>
  <sheetViews>
    <sheetView topLeftCell="A22" workbookViewId="0">
      <selection activeCell="A52" sqref="A52"/>
    </sheetView>
  </sheetViews>
  <sheetFormatPr baseColWidth="10" defaultColWidth="9.109375" defaultRowHeight="13.2"/>
  <sheetData>
    <row r="1" spans="1:28">
      <c r="A1" t="s">
        <v>45</v>
      </c>
      <c r="J1" t="s">
        <v>46</v>
      </c>
      <c r="S1" t="s">
        <v>47</v>
      </c>
      <c r="AB1" t="s">
        <v>48</v>
      </c>
    </row>
    <row r="26" spans="1:28">
      <c r="A26" t="s">
        <v>49</v>
      </c>
      <c r="J26" t="s">
        <v>50</v>
      </c>
      <c r="S26" t="s">
        <v>51</v>
      </c>
      <c r="AB26" t="s">
        <v>52</v>
      </c>
    </row>
    <row r="51" spans="1:1">
      <c r="A51" t="s">
        <v>53</v>
      </c>
    </row>
  </sheetData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Quotation</vt:lpstr>
      <vt:lpstr>Acelerografo</vt:lpstr>
      <vt:lpstr>digitalizador</vt:lpstr>
      <vt:lpstr>thermocoupleGTL</vt:lpstr>
      <vt:lpstr>elongometer</vt:lpstr>
      <vt:lpstr>fixed_colimador</vt:lpstr>
      <vt:lpstr>mobile_colimador</vt:lpstr>
      <vt:lpstr>piezometer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FARBIOPHARMA SA</cp:lastModifiedBy>
  <cp:revision>1</cp:revision>
  <cp:lastPrinted>2014-01-31T11:37:00Z</cp:lastPrinted>
  <dcterms:created xsi:type="dcterms:W3CDTF">2012-05-31T17:13:00Z</dcterms:created>
  <dcterms:modified xsi:type="dcterms:W3CDTF">2025-12-04T17:24:17Z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489415428EDD48F2A422AEAD5F9A867A_13</vt:lpwstr>
  </property>
</Properties>
</file>